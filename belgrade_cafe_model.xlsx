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€#,##0"/>
    <numFmt numFmtId="165" formatCode="0.0%"/>
    <numFmt numFmtId="166" formatCode="#,##0.0"/>
    <numFmt numFmtId="167" formatCode="€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color rgb="000000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D3D3D3"/>
      </top>
      <bottom style="double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1" pivotButton="0" quotePrefix="0" xfId="0"/>
    <xf numFmtId="164" fontId="4" fillId="0" borderId="1" pivotButton="0" quotePrefix="0" xfId="0"/>
    <xf numFmtId="3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horizontal="center"/>
    </xf>
    <xf numFmtId="3" fontId="0" fillId="0" borderId="1" pivotButton="0" quotePrefix="0" xfId="0"/>
    <xf numFmtId="167" fontId="0" fillId="0" borderId="1" pivotButton="0" quotePrefix="0" xfId="0"/>
    <xf numFmtId="164" fontId="0" fillId="0" borderId="1" pivotButton="0" quotePrefix="0" xfId="0"/>
    <xf numFmtId="0" fontId="2" fillId="0" borderId="2" pivotButton="0" quotePrefix="0" xfId="0"/>
    <xf numFmtId="164" fontId="2" fillId="0" borderId="2" pivotButton="0" quotePrefix="0" xfId="0"/>
    <xf numFmtId="0" fontId="2" fillId="4" borderId="1" pivotButton="0" quotePrefix="0" xfId="0"/>
    <xf numFmtId="164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</cols>
  <sheetData>
    <row r="1" ht="30" customHeight="1">
      <c r="A1" s="1" t="inlineStr">
        <is>
          <t>Входные параметры (Assumptions)</t>
        </is>
      </c>
    </row>
    <row r="2"/>
    <row r="3" ht="22" customHeight="1">
      <c r="A3" s="2" t="inlineStr">
        <is>
          <t>1. Финансирование и Стартовые активы</t>
        </is>
      </c>
    </row>
    <row r="4">
      <c r="A4" s="3" t="inlineStr">
        <is>
          <t>Начальный капитал (собственный)</t>
        </is>
      </c>
      <c r="B4" s="4" t="n">
        <v>24000</v>
      </c>
      <c r="C4" s="3" t="inlineStr">
        <is>
          <t>EUR</t>
        </is>
      </c>
    </row>
    <row r="5">
      <c r="A5" s="3" t="inlineStr">
        <is>
          <t>Ремонт и отделка помещения (PP&amp;E)</t>
        </is>
      </c>
      <c r="B5" s="4" t="n">
        <v>8000</v>
      </c>
      <c r="C5" s="3" t="inlineStr">
        <is>
          <t>EUR</t>
        </is>
      </c>
    </row>
    <row r="6">
      <c r="A6" s="3" t="inlineStr">
        <is>
          <t>Профессиональное б/у оборудование (PP&amp;E)</t>
        </is>
      </c>
      <c r="B6" s="4" t="n">
        <v>3500</v>
      </c>
      <c r="C6" s="3" t="inlineStr">
        <is>
          <t>EUR</t>
        </is>
      </c>
    </row>
    <row r="7">
      <c r="A7" s="3" t="inlineStr">
        <is>
          <t>Мебель (PP&amp;E)</t>
        </is>
      </c>
      <c r="B7" s="4" t="n">
        <v>3000</v>
      </c>
      <c r="C7" s="3" t="inlineStr">
        <is>
          <t>EUR</t>
        </is>
      </c>
    </row>
    <row r="8">
      <c r="A8" s="3" t="inlineStr">
        <is>
          <t>Депозит за аренду (долгосрочный актив)</t>
        </is>
      </c>
      <c r="B8" s="4" t="n">
        <v>1200</v>
      </c>
      <c r="C8" s="3" t="inlineStr">
        <is>
          <t>EUR</t>
        </is>
      </c>
    </row>
    <row r="9">
      <c r="A9" s="3" t="inlineStr">
        <is>
          <t>Первоначальный товарный запас (оборотный актив)</t>
        </is>
      </c>
      <c r="B9" s="4" t="n">
        <v>2000</v>
      </c>
      <c r="C9" s="3" t="inlineStr">
        <is>
          <t>EUR</t>
        </is>
      </c>
    </row>
    <row r="10">
      <c r="A10" s="3" t="inlineStr">
        <is>
          <t>Разовые расходы на открытие (юристы, APR, маркетинг)</t>
        </is>
      </c>
      <c r="B10" s="4" t="n">
        <v>1700</v>
      </c>
      <c r="C10" s="3" t="inlineStr">
        <is>
          <t>EUR</t>
        </is>
      </c>
    </row>
    <row r="11" ht="22" customHeight="1">
      <c r="A11" s="2" t="inlineStr">
        <is>
          <t>2. Аренда и Операционные расходы в месяц</t>
        </is>
      </c>
    </row>
    <row r="12">
      <c r="A12" s="3" t="inlineStr">
        <is>
          <t>Аренда помещения (40 кв.м.)</t>
        </is>
      </c>
      <c r="B12" s="4" t="n">
        <v>600</v>
      </c>
      <c r="C12" s="3" t="inlineStr">
        <is>
          <t>EUR</t>
        </is>
      </c>
    </row>
    <row r="13">
      <c r="A13" s="3" t="inlineStr">
        <is>
          <t>Коммунальные услуги</t>
        </is>
      </c>
      <c r="B13" s="4" t="n">
        <v>300</v>
      </c>
      <c r="C13" s="3" t="inlineStr">
        <is>
          <t>EUR</t>
        </is>
      </c>
    </row>
    <row r="14">
      <c r="A14" s="3" t="inlineStr">
        <is>
          <t>Количество сотрудников</t>
        </is>
      </c>
      <c r="B14" s="5" t="n">
        <v>2</v>
      </c>
      <c r="C14" s="3" t="inlineStr">
        <is>
          <t>чел</t>
        </is>
      </c>
    </row>
    <row r="15">
      <c r="A15" s="3" t="inlineStr">
        <is>
          <t>Зарплата 1 сотрудника (нетто)</t>
        </is>
      </c>
      <c r="B15" s="4" t="n">
        <v>550</v>
      </c>
      <c r="C15" s="3" t="inlineStr">
        <is>
          <t>EUR</t>
        </is>
      </c>
    </row>
    <row r="16">
      <c r="A16" s="3" t="inlineStr">
        <is>
          <t>Налог на зарплату (соцотчисления сверх нетто)</t>
        </is>
      </c>
      <c r="B16" s="6" t="n">
        <v>0.6</v>
      </c>
      <c r="C16" s="3" t="inlineStr">
        <is>
          <t>%</t>
        </is>
      </c>
    </row>
    <row r="17">
      <c r="A17" s="3" t="inlineStr">
        <is>
          <t>Бухгалтерия и ПО</t>
        </is>
      </c>
      <c r="B17" s="4" t="n">
        <v>150</v>
      </c>
      <c r="C17" s="3" t="inlineStr">
        <is>
          <t>EUR</t>
        </is>
      </c>
    </row>
    <row r="18">
      <c r="A18" s="3" t="inlineStr">
        <is>
          <t>Прочие расходы (лицензии Sokoj/OFPS, хозтовары)</t>
        </is>
      </c>
      <c r="B18" s="4" t="n">
        <v>150</v>
      </c>
      <c r="C18" s="3" t="inlineStr">
        <is>
          <t>EUR</t>
        </is>
      </c>
    </row>
    <row r="19" ht="22" customHeight="1">
      <c r="A19" s="2" t="inlineStr">
        <is>
          <t>3. Продажи и Себестоимость</t>
        </is>
      </c>
    </row>
    <row r="20">
      <c r="A20" s="3" t="inlineStr">
        <is>
          <t>Курс EUR / RSD</t>
        </is>
      </c>
      <c r="B20" s="7" t="n">
        <v>117</v>
      </c>
      <c r="C20" s="3" t="inlineStr">
        <is>
          <t>RSD</t>
        </is>
      </c>
    </row>
    <row r="21">
      <c r="A21" s="3" t="inlineStr">
        <is>
          <t>Средний чек</t>
        </is>
      </c>
      <c r="B21" s="5" t="n">
        <v>300</v>
      </c>
      <c r="C21" s="3" t="inlineStr">
        <is>
          <t>RSD</t>
        </is>
      </c>
    </row>
    <row r="22">
      <c r="A22" s="3" t="inlineStr">
        <is>
          <t>Количество гостей в день (steady state)</t>
        </is>
      </c>
      <c r="B22" s="5" t="n">
        <v>100</v>
      </c>
      <c r="C22" s="3" t="inlineStr">
        <is>
          <t>чел</t>
        </is>
      </c>
    </row>
    <row r="23">
      <c r="A23" s="3" t="inlineStr">
        <is>
          <t>Рабочих дней в месяце</t>
        </is>
      </c>
      <c r="B23" s="5" t="n">
        <v>30</v>
      </c>
      <c r="C23" s="3" t="inlineStr">
        <is>
          <t>дней</t>
        </is>
      </c>
    </row>
    <row r="24">
      <c r="A24" s="3" t="inlineStr">
        <is>
          <t>Себестоимость продуктов (COGS %)</t>
        </is>
      </c>
      <c r="B24" s="6" t="n">
        <v>0.25</v>
      </c>
      <c r="C24" s="3" t="inlineStr">
        <is>
          <t>%</t>
        </is>
      </c>
    </row>
    <row r="25">
      <c r="A25" s="3" t="inlineStr">
        <is>
          <t>Налог на прибыль в Сербии</t>
        </is>
      </c>
      <c r="B25" s="6" t="n">
        <v>0.15</v>
      </c>
      <c r="C25" s="3" t="inlineStr">
        <is>
          <t>%</t>
        </is>
      </c>
    </row>
    <row r="26">
      <c r="A26" s="3" t="inlineStr">
        <is>
          <t>Срок полезного использования PP&amp;E</t>
        </is>
      </c>
      <c r="B26" s="5" t="n">
        <v>60</v>
      </c>
      <c r="C26" s="3" t="inlineStr">
        <is>
          <t>мес.</t>
        </is>
      </c>
    </row>
    <row r="27" ht="22" customHeight="1">
      <c r="A27" s="2" t="inlineStr">
        <is>
          <t>4. Темп выхода на мощность (Ramp-up)</t>
        </is>
      </c>
    </row>
    <row r="28">
      <c r="A28" s="3" t="inlineStr">
        <is>
          <t>Месяц 1</t>
        </is>
      </c>
      <c r="B28" s="6" t="n">
        <v>0.5</v>
      </c>
      <c r="C28" s="3" t="inlineStr">
        <is>
          <t>%</t>
        </is>
      </c>
    </row>
    <row r="29">
      <c r="A29" s="3" t="inlineStr">
        <is>
          <t>Месяц 2</t>
        </is>
      </c>
      <c r="B29" s="6" t="n">
        <v>0.7</v>
      </c>
      <c r="C29" s="3" t="inlineStr">
        <is>
          <t>%</t>
        </is>
      </c>
    </row>
    <row r="30">
      <c r="A30" s="3" t="inlineStr">
        <is>
          <t>Месяц 3</t>
        </is>
      </c>
      <c r="B30" s="6" t="n">
        <v>0.85</v>
      </c>
      <c r="C30" s="3" t="inlineStr">
        <is>
          <t>%</t>
        </is>
      </c>
    </row>
    <row r="31">
      <c r="A31" s="3" t="inlineStr">
        <is>
          <t>Месяцы 4-12</t>
        </is>
      </c>
      <c r="B31" s="6" t="n">
        <v>1</v>
      </c>
      <c r="C31" s="3" t="inlineStr">
        <is>
          <t>%</t>
        </is>
      </c>
    </row>
  </sheetData>
  <mergeCells count="5">
    <mergeCell ref="A19:C19"/>
    <mergeCell ref="A11:C11"/>
    <mergeCell ref="A1:C1"/>
    <mergeCell ref="A27:C27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5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0" customHeight="1">
      <c r="A1" s="1" t="inlineStr">
        <is>
          <t>Интегрированная 3-Statement модель</t>
        </is>
      </c>
    </row>
    <row r="2" ht="24" customHeight="1">
      <c r="A2" s="8" t="inlineStr">
        <is>
          <t>Статья</t>
        </is>
      </c>
      <c r="B2" s="8" t="inlineStr">
        <is>
          <t>Ед.</t>
        </is>
      </c>
      <c r="C2" s="8" t="inlineStr">
        <is>
          <t>М0 (Старт)</t>
        </is>
      </c>
      <c r="D2" s="8" t="inlineStr">
        <is>
          <t>М1</t>
        </is>
      </c>
      <c r="E2" s="8" t="inlineStr">
        <is>
          <t>М2</t>
        </is>
      </c>
      <c r="F2" s="8" t="inlineStr">
        <is>
          <t>М3</t>
        </is>
      </c>
      <c r="G2" s="8" t="inlineStr">
        <is>
          <t>М4</t>
        </is>
      </c>
      <c r="H2" s="8" t="inlineStr">
        <is>
          <t>М5</t>
        </is>
      </c>
      <c r="I2" s="8" t="inlineStr">
        <is>
          <t>М6</t>
        </is>
      </c>
      <c r="J2" s="8" t="inlineStr">
        <is>
          <t>М7</t>
        </is>
      </c>
      <c r="K2" s="8" t="inlineStr">
        <is>
          <t>М8</t>
        </is>
      </c>
      <c r="L2" s="8" t="inlineStr">
        <is>
          <t>М9</t>
        </is>
      </c>
      <c r="M2" s="8" t="inlineStr">
        <is>
          <t>М10</t>
        </is>
      </c>
      <c r="N2" s="8" t="inlineStr">
        <is>
          <t>М11</t>
        </is>
      </c>
      <c r="O2" s="8" t="inlineStr">
        <is>
          <t>М12</t>
        </is>
      </c>
      <c r="P2" s="8" t="inlineStr">
        <is>
          <t>Итого Y1</t>
        </is>
      </c>
    </row>
    <row r="3" ht="20" customHeight="1">
      <c r="A3" s="2" t="inlineStr">
        <is>
          <t>1. РАБОЧИЕ ПОКАЗАТЕЛИ</t>
        </is>
      </c>
    </row>
    <row r="4">
      <c r="A4" s="3" t="inlineStr">
        <is>
          <t>Коэффициент Ramp-up</t>
        </is>
      </c>
      <c r="B4" s="9" t="n"/>
      <c r="C4" s="10" t="n">
        <v>0</v>
      </c>
      <c r="D4" s="10">
        <f>Assumptions!$B$28</f>
        <v/>
      </c>
      <c r="E4" s="10">
        <f>Assumptions!$B$29</f>
        <v/>
      </c>
      <c r="F4" s="10">
        <f>Assumptions!$B$30</f>
        <v/>
      </c>
      <c r="G4" s="10">
        <f>Assumptions!$B$31</f>
        <v/>
      </c>
      <c r="H4" s="10">
        <f>Assumptions!$B$31</f>
        <v/>
      </c>
      <c r="I4" s="10">
        <f>Assumptions!$B$31</f>
        <v/>
      </c>
      <c r="J4" s="10">
        <f>Assumptions!$B$31</f>
        <v/>
      </c>
      <c r="K4" s="10">
        <f>Assumptions!$B$31</f>
        <v/>
      </c>
      <c r="L4" s="10">
        <f>Assumptions!$B$31</f>
        <v/>
      </c>
      <c r="M4" s="10">
        <f>Assumptions!$B$31</f>
        <v/>
      </c>
      <c r="N4" s="10">
        <f>Assumptions!$B$31</f>
        <v/>
      </c>
      <c r="O4" s="10">
        <f>Assumptions!$B$31</f>
        <v/>
      </c>
      <c r="P4" s="11" t="inlineStr">
        <is>
          <t>-</t>
        </is>
      </c>
    </row>
    <row r="5">
      <c r="A5" s="3" t="inlineStr">
        <is>
          <t>Количество гостей в день</t>
        </is>
      </c>
      <c r="B5" s="9" t="n"/>
      <c r="C5" s="12">
        <f>Assumptions!$B$22*C4</f>
        <v/>
      </c>
      <c r="D5" s="12">
        <f>Assumptions!$B$22*D4</f>
        <v/>
      </c>
      <c r="E5" s="12">
        <f>Assumptions!$B$22*E4</f>
        <v/>
      </c>
      <c r="F5" s="12">
        <f>Assumptions!$B$22*F4</f>
        <v/>
      </c>
      <c r="G5" s="12">
        <f>Assumptions!$B$22*G4</f>
        <v/>
      </c>
      <c r="H5" s="12">
        <f>Assumptions!$B$22*H4</f>
        <v/>
      </c>
      <c r="I5" s="12">
        <f>Assumptions!$B$22*I4</f>
        <v/>
      </c>
      <c r="J5" s="12">
        <f>Assumptions!$B$22*J4</f>
        <v/>
      </c>
      <c r="K5" s="12">
        <f>Assumptions!$B$22*K4</f>
        <v/>
      </c>
      <c r="L5" s="12">
        <f>Assumptions!$B$22*L4</f>
        <v/>
      </c>
      <c r="M5" s="12">
        <f>Assumptions!$B$22*M4</f>
        <v/>
      </c>
      <c r="N5" s="12">
        <f>Assumptions!$B$22*N4</f>
        <v/>
      </c>
      <c r="O5" s="12">
        <f>Assumptions!$B$22*O4</f>
        <v/>
      </c>
      <c r="P5" s="12">
        <f>AVERAGE(D5:O5)</f>
        <v/>
      </c>
    </row>
    <row r="6">
      <c r="A6" s="3" t="inlineStr">
        <is>
          <t>Средний чек (в EUR)</t>
        </is>
      </c>
      <c r="B6" s="9" t="n"/>
      <c r="C6" s="13">
        <f>Assumptions!$B$21/Assumptions!$B$20</f>
        <v/>
      </c>
      <c r="D6" s="13">
        <f>Assumptions!$B$21/Assumptions!$B$20</f>
        <v/>
      </c>
      <c r="E6" s="13">
        <f>Assumptions!$B$21/Assumptions!$B$20</f>
        <v/>
      </c>
      <c r="F6" s="13">
        <f>Assumptions!$B$21/Assumptions!$B$20</f>
        <v/>
      </c>
      <c r="G6" s="13">
        <f>Assumptions!$B$21/Assumptions!$B$20</f>
        <v/>
      </c>
      <c r="H6" s="13">
        <f>Assumptions!$B$21/Assumptions!$B$20</f>
        <v/>
      </c>
      <c r="I6" s="13">
        <f>Assumptions!$B$21/Assumptions!$B$20</f>
        <v/>
      </c>
      <c r="J6" s="13">
        <f>Assumptions!$B$21/Assumptions!$B$20</f>
        <v/>
      </c>
      <c r="K6" s="13">
        <f>Assumptions!$B$21/Assumptions!$B$20</f>
        <v/>
      </c>
      <c r="L6" s="13">
        <f>Assumptions!$B$21/Assumptions!$B$20</f>
        <v/>
      </c>
      <c r="M6" s="13">
        <f>Assumptions!$B$21/Assumptions!$B$20</f>
        <v/>
      </c>
      <c r="N6" s="13">
        <f>Assumptions!$B$21/Assumptions!$B$20</f>
        <v/>
      </c>
      <c r="O6" s="13">
        <f>Assumptions!$B$21/Assumptions!$B$20</f>
        <v/>
      </c>
      <c r="P6" s="13">
        <f>AVERAGE(D6:O6)</f>
        <v/>
      </c>
    </row>
    <row r="7" ht="20" customHeight="1">
      <c r="A7" s="2" t="inlineStr">
        <is>
          <t>2. ОТЧЕТ О ПРИБЫЛЯХ И УБЫТКАХ (Income Statement)</t>
        </is>
      </c>
    </row>
    <row r="8">
      <c r="A8" s="3" t="inlineStr">
        <is>
          <t>Выручка</t>
        </is>
      </c>
      <c r="B8" s="9" t="n"/>
      <c r="C8" s="14" t="n">
        <v>0</v>
      </c>
      <c r="D8" s="14">
        <f>D5*D6*Assumptions!$B$23</f>
        <v/>
      </c>
      <c r="E8" s="14">
        <f>E5*E6*Assumptions!$B$23</f>
        <v/>
      </c>
      <c r="F8" s="14">
        <f>F5*F6*Assumptions!$B$23</f>
        <v/>
      </c>
      <c r="G8" s="14">
        <f>G5*G6*Assumptions!$B$23</f>
        <v/>
      </c>
      <c r="H8" s="14">
        <f>H5*H6*Assumptions!$B$23</f>
        <v/>
      </c>
      <c r="I8" s="14">
        <f>I5*I6*Assumptions!$B$23</f>
        <v/>
      </c>
      <c r="J8" s="14">
        <f>J5*J6*Assumptions!$B$23</f>
        <v/>
      </c>
      <c r="K8" s="14">
        <f>K5*K6*Assumptions!$B$23</f>
        <v/>
      </c>
      <c r="L8" s="14">
        <f>L5*L6*Assumptions!$B$23</f>
        <v/>
      </c>
      <c r="M8" s="14">
        <f>M5*M6*Assumptions!$B$23</f>
        <v/>
      </c>
      <c r="N8" s="14">
        <f>N5*N6*Assumptions!$B$23</f>
        <v/>
      </c>
      <c r="O8" s="14">
        <f>O5*O6*Assumptions!$B$23</f>
        <v/>
      </c>
      <c r="P8" s="14">
        <f>SUM(D8:O8)</f>
        <v/>
      </c>
    </row>
    <row r="9">
      <c r="A9" s="3" t="inlineStr">
        <is>
          <t>Себестоимость (COGS)</t>
        </is>
      </c>
      <c r="B9" s="9" t="n"/>
      <c r="C9" s="14" t="n">
        <v>0</v>
      </c>
      <c r="D9" s="14">
        <f>-D8*Assumptions!$B$24</f>
        <v/>
      </c>
      <c r="E9" s="14">
        <f>-E8*Assumptions!$B$24</f>
        <v/>
      </c>
      <c r="F9" s="14">
        <f>-F8*Assumptions!$B$24</f>
        <v/>
      </c>
      <c r="G9" s="14">
        <f>-G8*Assumptions!$B$24</f>
        <v/>
      </c>
      <c r="H9" s="14">
        <f>-H8*Assumptions!$B$24</f>
        <v/>
      </c>
      <c r="I9" s="14">
        <f>-I8*Assumptions!$B$24</f>
        <v/>
      </c>
      <c r="J9" s="14">
        <f>-J8*Assumptions!$B$24</f>
        <v/>
      </c>
      <c r="K9" s="14">
        <f>-K8*Assumptions!$B$24</f>
        <v/>
      </c>
      <c r="L9" s="14">
        <f>-L8*Assumptions!$B$24</f>
        <v/>
      </c>
      <c r="M9" s="14">
        <f>-M8*Assumptions!$B$24</f>
        <v/>
      </c>
      <c r="N9" s="14">
        <f>-N8*Assumptions!$B$24</f>
        <v/>
      </c>
      <c r="O9" s="14">
        <f>-O8*Assumptions!$B$24</f>
        <v/>
      </c>
      <c r="P9" s="14">
        <f>SUM(D9:O9)</f>
        <v/>
      </c>
    </row>
    <row r="10">
      <c r="A10" s="3" t="inlineStr">
        <is>
          <t>Валовая прибыль (Gross Profit)</t>
        </is>
      </c>
      <c r="B10" s="9" t="n"/>
      <c r="C10" s="14" t="n">
        <v>0</v>
      </c>
      <c r="D10" s="14">
        <f>D8+D9</f>
        <v/>
      </c>
      <c r="E10" s="14">
        <f>E8+E9</f>
        <v/>
      </c>
      <c r="F10" s="14">
        <f>F8+F9</f>
        <v/>
      </c>
      <c r="G10" s="14">
        <f>G8+G9</f>
        <v/>
      </c>
      <c r="H10" s="14">
        <f>H8+H9</f>
        <v/>
      </c>
      <c r="I10" s="14">
        <f>I8+I9</f>
        <v/>
      </c>
      <c r="J10" s="14">
        <f>J8+J9</f>
        <v/>
      </c>
      <c r="K10" s="14">
        <f>K8+K9</f>
        <v/>
      </c>
      <c r="L10" s="14">
        <f>L8+L9</f>
        <v/>
      </c>
      <c r="M10" s="14">
        <f>M8+M9</f>
        <v/>
      </c>
      <c r="N10" s="14">
        <f>N8+N9</f>
        <v/>
      </c>
      <c r="O10" s="14">
        <f>O8+O9</f>
        <v/>
      </c>
      <c r="P10" s="14">
        <f>SUM(D10:O10)</f>
        <v/>
      </c>
    </row>
    <row r="11">
      <c r="A11" s="3" t="inlineStr">
        <is>
          <t>Аренда помещения</t>
        </is>
      </c>
      <c r="B11" s="9" t="n"/>
      <c r="C11" s="14" t="n">
        <v>0</v>
      </c>
      <c r="D11" s="14">
        <f>-Assumptions!$B$12</f>
        <v/>
      </c>
      <c r="E11" s="14">
        <f>-Assumptions!$B$12</f>
        <v/>
      </c>
      <c r="F11" s="14">
        <f>-Assumptions!$B$12</f>
        <v/>
      </c>
      <c r="G11" s="14">
        <f>-Assumptions!$B$12</f>
        <v/>
      </c>
      <c r="H11" s="14">
        <f>-Assumptions!$B$12</f>
        <v/>
      </c>
      <c r="I11" s="14">
        <f>-Assumptions!$B$12</f>
        <v/>
      </c>
      <c r="J11" s="14">
        <f>-Assumptions!$B$12</f>
        <v/>
      </c>
      <c r="K11" s="14">
        <f>-Assumptions!$B$12</f>
        <v/>
      </c>
      <c r="L11" s="14">
        <f>-Assumptions!$B$12</f>
        <v/>
      </c>
      <c r="M11" s="14">
        <f>-Assumptions!$B$12</f>
        <v/>
      </c>
      <c r="N11" s="14">
        <f>-Assumptions!$B$12</f>
        <v/>
      </c>
      <c r="O11" s="14">
        <f>-Assumptions!$B$12</f>
        <v/>
      </c>
      <c r="P11" s="14">
        <f>SUM(D11:O11)</f>
        <v/>
      </c>
    </row>
    <row r="12">
      <c r="A12" s="3" t="inlineStr">
        <is>
          <t>Коммунальные услуги</t>
        </is>
      </c>
      <c r="B12" s="9" t="n"/>
      <c r="C12" s="14" t="n">
        <v>0</v>
      </c>
      <c r="D12" s="14">
        <f>-Assumptions!$B$13</f>
        <v/>
      </c>
      <c r="E12" s="14">
        <f>-Assumptions!$B$13</f>
        <v/>
      </c>
      <c r="F12" s="14">
        <f>-Assumptions!$B$13</f>
        <v/>
      </c>
      <c r="G12" s="14">
        <f>-Assumptions!$B$13</f>
        <v/>
      </c>
      <c r="H12" s="14">
        <f>-Assumptions!$B$13</f>
        <v/>
      </c>
      <c r="I12" s="14">
        <f>-Assumptions!$B$13</f>
        <v/>
      </c>
      <c r="J12" s="14">
        <f>-Assumptions!$B$13</f>
        <v/>
      </c>
      <c r="K12" s="14">
        <f>-Assumptions!$B$13</f>
        <v/>
      </c>
      <c r="L12" s="14">
        <f>-Assumptions!$B$13</f>
        <v/>
      </c>
      <c r="M12" s="14">
        <f>-Assumptions!$B$13</f>
        <v/>
      </c>
      <c r="N12" s="14">
        <f>-Assumptions!$B$13</f>
        <v/>
      </c>
      <c r="O12" s="14">
        <f>-Assumptions!$B$13</f>
        <v/>
      </c>
      <c r="P12" s="14">
        <f>SUM(D12:O12)</f>
        <v/>
      </c>
    </row>
    <row r="13">
      <c r="A13" s="3" t="inlineStr">
        <is>
          <t>ФОТ сотрудников с налогами</t>
        </is>
      </c>
      <c r="B13" s="9" t="n"/>
      <c r="C13" s="14" t="n">
        <v>0</v>
      </c>
      <c r="D13" s="14">
        <f>-Assumptions!$B$14*Assumptions!$B$15*(1+Assumptions!$B$16)</f>
        <v/>
      </c>
      <c r="E13" s="14">
        <f>-Assumptions!$B$14*Assumptions!$B$15*(1+Assumptions!$B$16)</f>
        <v/>
      </c>
      <c r="F13" s="14">
        <f>-Assumptions!$B$14*Assumptions!$B$15*(1+Assumptions!$B$16)</f>
        <v/>
      </c>
      <c r="G13" s="14">
        <f>-Assumptions!$B$14*Assumptions!$B$15*(1+Assumptions!$B$16)</f>
        <v/>
      </c>
      <c r="H13" s="14">
        <f>-Assumptions!$B$14*Assumptions!$B$15*(1+Assumptions!$B$16)</f>
        <v/>
      </c>
      <c r="I13" s="14">
        <f>-Assumptions!$B$14*Assumptions!$B$15*(1+Assumptions!$B$16)</f>
        <v/>
      </c>
      <c r="J13" s="14">
        <f>-Assumptions!$B$14*Assumptions!$B$15*(1+Assumptions!$B$16)</f>
        <v/>
      </c>
      <c r="K13" s="14">
        <f>-Assumptions!$B$14*Assumptions!$B$15*(1+Assumptions!$B$16)</f>
        <v/>
      </c>
      <c r="L13" s="14">
        <f>-Assumptions!$B$14*Assumptions!$B$15*(1+Assumptions!$B$16)</f>
        <v/>
      </c>
      <c r="M13" s="14">
        <f>-Assumptions!$B$14*Assumptions!$B$15*(1+Assumptions!$B$16)</f>
        <v/>
      </c>
      <c r="N13" s="14">
        <f>-Assumptions!$B$14*Assumptions!$B$15*(1+Assumptions!$B$16)</f>
        <v/>
      </c>
      <c r="O13" s="14">
        <f>-Assumptions!$B$14*Assumptions!$B$15*(1+Assumptions!$B$16)</f>
        <v/>
      </c>
      <c r="P13" s="14">
        <f>SUM(D13:O13)</f>
        <v/>
      </c>
    </row>
    <row r="14">
      <c r="A14" s="3" t="inlineStr">
        <is>
          <t>Бухгалтерия и ПО</t>
        </is>
      </c>
      <c r="B14" s="9" t="n"/>
      <c r="C14" s="14" t="n">
        <v>0</v>
      </c>
      <c r="D14" s="14">
        <f>-Assumptions!$B$17</f>
        <v/>
      </c>
      <c r="E14" s="14">
        <f>-Assumptions!$B$17</f>
        <v/>
      </c>
      <c r="F14" s="14">
        <f>-Assumptions!$B$17</f>
        <v/>
      </c>
      <c r="G14" s="14">
        <f>-Assumptions!$B$17</f>
        <v/>
      </c>
      <c r="H14" s="14">
        <f>-Assumptions!$B$17</f>
        <v/>
      </c>
      <c r="I14" s="14">
        <f>-Assumptions!$B$17</f>
        <v/>
      </c>
      <c r="J14" s="14">
        <f>-Assumptions!$B$17</f>
        <v/>
      </c>
      <c r="K14" s="14">
        <f>-Assumptions!$B$17</f>
        <v/>
      </c>
      <c r="L14" s="14">
        <f>-Assumptions!$B$17</f>
        <v/>
      </c>
      <c r="M14" s="14">
        <f>-Assumptions!$B$17</f>
        <v/>
      </c>
      <c r="N14" s="14">
        <f>-Assumptions!$B$17</f>
        <v/>
      </c>
      <c r="O14" s="14">
        <f>-Assumptions!$B$17</f>
        <v/>
      </c>
      <c r="P14" s="14">
        <f>SUM(D14:O14)</f>
        <v/>
      </c>
    </row>
    <row r="15">
      <c r="A15" s="3" t="inlineStr">
        <is>
          <t>Прочие расходы (лицензии, расходники)</t>
        </is>
      </c>
      <c r="B15" s="9" t="n"/>
      <c r="C15" s="14" t="n">
        <v>0</v>
      </c>
      <c r="D15" s="14">
        <f>-Assumptions!$B$18</f>
        <v/>
      </c>
      <c r="E15" s="14">
        <f>-Assumptions!$B$18</f>
        <v/>
      </c>
      <c r="F15" s="14">
        <f>-Assumptions!$B$18</f>
        <v/>
      </c>
      <c r="G15" s="14">
        <f>-Assumptions!$B$18</f>
        <v/>
      </c>
      <c r="H15" s="14">
        <f>-Assumptions!$B$18</f>
        <v/>
      </c>
      <c r="I15" s="14">
        <f>-Assumptions!$B$18</f>
        <v/>
      </c>
      <c r="J15" s="14">
        <f>-Assumptions!$B$18</f>
        <v/>
      </c>
      <c r="K15" s="14">
        <f>-Assumptions!$B$18</f>
        <v/>
      </c>
      <c r="L15" s="14">
        <f>-Assumptions!$B$18</f>
        <v/>
      </c>
      <c r="M15" s="14">
        <f>-Assumptions!$B$18</f>
        <v/>
      </c>
      <c r="N15" s="14">
        <f>-Assumptions!$B$18</f>
        <v/>
      </c>
      <c r="O15" s="14">
        <f>-Assumptions!$B$18</f>
        <v/>
      </c>
      <c r="P15" s="14">
        <f>SUM(D15:O15)</f>
        <v/>
      </c>
    </row>
    <row r="16">
      <c r="A16" s="3" t="inlineStr">
        <is>
          <t>EBITDA</t>
        </is>
      </c>
      <c r="B16" s="9" t="n"/>
      <c r="C16" s="14" t="n">
        <v>0</v>
      </c>
      <c r="D16" s="14">
        <f>D10+SUM(D11:D15)</f>
        <v/>
      </c>
      <c r="E16" s="14">
        <f>E10+SUM(E11:E15)</f>
        <v/>
      </c>
      <c r="F16" s="14">
        <f>F10+SUM(F11:F15)</f>
        <v/>
      </c>
      <c r="G16" s="14">
        <f>G10+SUM(G11:G15)</f>
        <v/>
      </c>
      <c r="H16" s="14">
        <f>H10+SUM(H11:H15)</f>
        <v/>
      </c>
      <c r="I16" s="14">
        <f>I10+SUM(I11:I15)</f>
        <v/>
      </c>
      <c r="J16" s="14">
        <f>J10+SUM(J11:J15)</f>
        <v/>
      </c>
      <c r="K16" s="14">
        <f>K10+SUM(K11:K15)</f>
        <v/>
      </c>
      <c r="L16" s="14">
        <f>L10+SUM(L11:L15)</f>
        <v/>
      </c>
      <c r="M16" s="14">
        <f>M10+SUM(M11:M15)</f>
        <v/>
      </c>
      <c r="N16" s="14">
        <f>N10+SUM(N11:N15)</f>
        <v/>
      </c>
      <c r="O16" s="14">
        <f>O10+SUM(O11:O15)</f>
        <v/>
      </c>
      <c r="P16" s="14">
        <f>SUM(D16:O16)</f>
        <v/>
      </c>
    </row>
    <row r="17">
      <c r="A17" s="3" t="inlineStr">
        <is>
          <t>Амортизация (D&amp;A)</t>
        </is>
      </c>
      <c r="B17" s="9" t="n"/>
      <c r="C17" s="14" t="n">
        <v>0</v>
      </c>
      <c r="D17" s="14">
        <f>-(Assumptions!$B$5+Assumptions!$B$6+Assumptions!$B$7)/Assumptions!$B$26</f>
        <v/>
      </c>
      <c r="E17" s="14">
        <f>-(Assumptions!$B$5+Assumptions!$B$6+Assumptions!$B$7)/Assumptions!$B$26</f>
        <v/>
      </c>
      <c r="F17" s="14">
        <f>-(Assumptions!$B$5+Assumptions!$B$6+Assumptions!$B$7)/Assumptions!$B$26</f>
        <v/>
      </c>
      <c r="G17" s="14">
        <f>-(Assumptions!$B$5+Assumptions!$B$6+Assumptions!$B$7)/Assumptions!$B$26</f>
        <v/>
      </c>
      <c r="H17" s="14">
        <f>-(Assumptions!$B$5+Assumptions!$B$6+Assumptions!$B$7)/Assumptions!$B$26</f>
        <v/>
      </c>
      <c r="I17" s="14">
        <f>-(Assumptions!$B$5+Assumptions!$B$6+Assumptions!$B$7)/Assumptions!$B$26</f>
        <v/>
      </c>
      <c r="J17" s="14">
        <f>-(Assumptions!$B$5+Assumptions!$B$6+Assumptions!$B$7)/Assumptions!$B$26</f>
        <v/>
      </c>
      <c r="K17" s="14">
        <f>-(Assumptions!$B$5+Assumptions!$B$6+Assumptions!$B$7)/Assumptions!$B$26</f>
        <v/>
      </c>
      <c r="L17" s="14">
        <f>-(Assumptions!$B$5+Assumptions!$B$6+Assumptions!$B$7)/Assumptions!$B$26</f>
        <v/>
      </c>
      <c r="M17" s="14">
        <f>-(Assumptions!$B$5+Assumptions!$B$6+Assumptions!$B$7)/Assumptions!$B$26</f>
        <v/>
      </c>
      <c r="N17" s="14">
        <f>-(Assumptions!$B$5+Assumptions!$B$6+Assumptions!$B$7)/Assumptions!$B$26</f>
        <v/>
      </c>
      <c r="O17" s="14">
        <f>-(Assumptions!$B$5+Assumptions!$B$6+Assumptions!$B$7)/Assumptions!$B$26</f>
        <v/>
      </c>
      <c r="P17" s="14">
        <f>SUM(D17:O17)</f>
        <v/>
      </c>
    </row>
    <row r="18">
      <c r="A18" s="3" t="inlineStr">
        <is>
          <t>Операционная прибыль (EBIT)</t>
        </is>
      </c>
      <c r="B18" s="9" t="n"/>
      <c r="C18" s="14" t="n">
        <v>0</v>
      </c>
      <c r="D18" s="14">
        <f>D16+D17</f>
        <v/>
      </c>
      <c r="E18" s="14">
        <f>E16+E17</f>
        <v/>
      </c>
      <c r="F18" s="14">
        <f>F16+F17</f>
        <v/>
      </c>
      <c r="G18" s="14">
        <f>G16+G17</f>
        <v/>
      </c>
      <c r="H18" s="14">
        <f>H16+H17</f>
        <v/>
      </c>
      <c r="I18" s="14">
        <f>I16+I17</f>
        <v/>
      </c>
      <c r="J18" s="14">
        <f>J16+J17</f>
        <v/>
      </c>
      <c r="K18" s="14">
        <f>K16+K17</f>
        <v/>
      </c>
      <c r="L18" s="14">
        <f>L16+L17</f>
        <v/>
      </c>
      <c r="M18" s="14">
        <f>M16+M17</f>
        <v/>
      </c>
      <c r="N18" s="14">
        <f>N16+N17</f>
        <v/>
      </c>
      <c r="O18" s="14">
        <f>O16+O17</f>
        <v/>
      </c>
      <c r="P18" s="14">
        <f>SUM(D18:O18)</f>
        <v/>
      </c>
    </row>
    <row r="19">
      <c r="A19" s="3" t="inlineStr">
        <is>
          <t>Налог на прибыль</t>
        </is>
      </c>
      <c r="B19" s="9" t="n"/>
      <c r="C19" s="14" t="n">
        <v>0</v>
      </c>
      <c r="D19" s="14">
        <f>IF(D18&gt;0, -D18*Assumptions!$B$25, 0)</f>
        <v/>
      </c>
      <c r="E19" s="14">
        <f>IF(E18&gt;0, -E18*Assumptions!$B$25, 0)</f>
        <v/>
      </c>
      <c r="F19" s="14">
        <f>IF(F18&gt;0, -F18*Assumptions!$B$25, 0)</f>
        <v/>
      </c>
      <c r="G19" s="14">
        <f>IF(G18&gt;0, -G18*Assumptions!$B$25, 0)</f>
        <v/>
      </c>
      <c r="H19" s="14">
        <f>IF(H18&gt;0, -H18*Assumptions!$B$25, 0)</f>
        <v/>
      </c>
      <c r="I19" s="14">
        <f>IF(I18&gt;0, -I18*Assumptions!$B$25, 0)</f>
        <v/>
      </c>
      <c r="J19" s="14">
        <f>IF(J18&gt;0, -J18*Assumptions!$B$25, 0)</f>
        <v/>
      </c>
      <c r="K19" s="14">
        <f>IF(K18&gt;0, -K18*Assumptions!$B$25, 0)</f>
        <v/>
      </c>
      <c r="L19" s="14">
        <f>IF(L18&gt;0, -L18*Assumptions!$B$25, 0)</f>
        <v/>
      </c>
      <c r="M19" s="14">
        <f>IF(M18&gt;0, -M18*Assumptions!$B$25, 0)</f>
        <v/>
      </c>
      <c r="N19" s="14">
        <f>IF(N18&gt;0, -N18*Assumptions!$B$25, 0)</f>
        <v/>
      </c>
      <c r="O19" s="14">
        <f>IF(O18&gt;0, -O18*Assumptions!$B$25, 0)</f>
        <v/>
      </c>
      <c r="P19" s="14">
        <f>SUM(D19:O19)</f>
        <v/>
      </c>
    </row>
    <row r="20">
      <c r="A20" s="3" t="inlineStr">
        <is>
          <t>Чистая прибыль</t>
        </is>
      </c>
      <c r="B20" s="9" t="n"/>
      <c r="C20" s="14">
        <f>-Assumptions!$B$10</f>
        <v/>
      </c>
      <c r="D20" s="14">
        <f>D18+D19</f>
        <v/>
      </c>
      <c r="E20" s="14">
        <f>E18+E19</f>
        <v/>
      </c>
      <c r="F20" s="14">
        <f>F18+F19</f>
        <v/>
      </c>
      <c r="G20" s="14">
        <f>G18+G19</f>
        <v/>
      </c>
      <c r="H20" s="14">
        <f>H18+H19</f>
        <v/>
      </c>
      <c r="I20" s="14">
        <f>I18+I19</f>
        <v/>
      </c>
      <c r="J20" s="14">
        <f>J18+J19</f>
        <v/>
      </c>
      <c r="K20" s="14">
        <f>K18+K19</f>
        <v/>
      </c>
      <c r="L20" s="14">
        <f>L18+L19</f>
        <v/>
      </c>
      <c r="M20" s="14">
        <f>M18+M19</f>
        <v/>
      </c>
      <c r="N20" s="14">
        <f>N18+N19</f>
        <v/>
      </c>
      <c r="O20" s="14">
        <f>O18+O19</f>
        <v/>
      </c>
      <c r="P20" s="14">
        <f>SUM(C20:O20)</f>
        <v/>
      </c>
    </row>
    <row r="21" ht="20" customHeight="1">
      <c r="A21" s="2" t="inlineStr">
        <is>
          <t>3.БАЛАНСОВЫЙ ОТЧЕТ (Balance Sheet)</t>
        </is>
      </c>
    </row>
    <row r="22">
      <c r="A22" s="3" t="inlineStr">
        <is>
          <t>Денежные средства (Cash)</t>
        </is>
      </c>
      <c r="B22" s="9" t="n"/>
      <c r="C22" s="14">
        <f>Assumptions!$B$4-(Assumptions!$B$5+Assumptions!$B$6+Assumptions!$B$7)-Assumptions!$B$8-Assumptions!$B$12-Assumptions!$B$9-Assumptions!$B$10</f>
        <v/>
      </c>
      <c r="D22" s="14">
        <f>D44</f>
        <v/>
      </c>
      <c r="E22" s="14">
        <f>E44</f>
        <v/>
      </c>
      <c r="F22" s="14">
        <f>F44</f>
        <v/>
      </c>
      <c r="G22" s="14">
        <f>G44</f>
        <v/>
      </c>
      <c r="H22" s="14">
        <f>H44</f>
        <v/>
      </c>
      <c r="I22" s="14">
        <f>I44</f>
        <v/>
      </c>
      <c r="J22" s="14">
        <f>J44</f>
        <v/>
      </c>
      <c r="K22" s="14">
        <f>K44</f>
        <v/>
      </c>
      <c r="L22" s="14">
        <f>L44</f>
        <v/>
      </c>
      <c r="M22" s="14">
        <f>M44</f>
        <v/>
      </c>
      <c r="N22" s="14">
        <f>N44</f>
        <v/>
      </c>
      <c r="O22" s="14">
        <f>O44</f>
        <v/>
      </c>
      <c r="P22" s="14">
        <f>O22</f>
        <v/>
      </c>
    </row>
    <row r="23">
      <c r="A23" s="3" t="inlineStr">
        <is>
          <t>Товарный запас (Inventory)</t>
        </is>
      </c>
      <c r="B23" s="9" t="n"/>
      <c r="C23" s="14">
        <f>Assumptions!$B$9</f>
        <v/>
      </c>
      <c r="D23" s="14">
        <f>C23</f>
        <v/>
      </c>
      <c r="E23" s="14">
        <f>D23</f>
        <v/>
      </c>
      <c r="F23" s="14">
        <f>E23</f>
        <v/>
      </c>
      <c r="G23" s="14">
        <f>F23</f>
        <v/>
      </c>
      <c r="H23" s="14">
        <f>G23</f>
        <v/>
      </c>
      <c r="I23" s="14">
        <f>H23</f>
        <v/>
      </c>
      <c r="J23" s="14">
        <f>I23</f>
        <v/>
      </c>
      <c r="K23" s="14">
        <f>J23</f>
        <v/>
      </c>
      <c r="L23" s="14">
        <f>K23</f>
        <v/>
      </c>
      <c r="M23" s="14">
        <f>L23</f>
        <v/>
      </c>
      <c r="N23" s="14">
        <f>M23</f>
        <v/>
      </c>
      <c r="O23" s="14">
        <f>N23</f>
        <v/>
      </c>
      <c r="P23" s="14">
        <f>O23</f>
        <v/>
      </c>
    </row>
    <row r="24">
      <c r="A24" s="3" t="inlineStr">
        <is>
          <t>Депозит за аренду (Deposit)</t>
        </is>
      </c>
      <c r="B24" s="9" t="n"/>
      <c r="C24" s="14">
        <f>Assumptions!$B$8</f>
        <v/>
      </c>
      <c r="D24" s="14">
        <f>C24</f>
        <v/>
      </c>
      <c r="E24" s="14">
        <f>D24</f>
        <v/>
      </c>
      <c r="F24" s="14">
        <f>E24</f>
        <v/>
      </c>
      <c r="G24" s="14">
        <f>F24</f>
        <v/>
      </c>
      <c r="H24" s="14">
        <f>G24</f>
        <v/>
      </c>
      <c r="I24" s="14">
        <f>H24</f>
        <v/>
      </c>
      <c r="J24" s="14">
        <f>I24</f>
        <v/>
      </c>
      <c r="K24" s="14">
        <f>J24</f>
        <v/>
      </c>
      <c r="L24" s="14">
        <f>K24</f>
        <v/>
      </c>
      <c r="M24" s="14">
        <f>L24</f>
        <v/>
      </c>
      <c r="N24" s="14">
        <f>M24</f>
        <v/>
      </c>
      <c r="O24" s="14">
        <f>N24</f>
        <v/>
      </c>
      <c r="P24" s="14">
        <f>O24</f>
        <v/>
      </c>
    </row>
    <row r="25">
      <c r="A25" s="3" t="inlineStr">
        <is>
          <t>Предоплата по аренде</t>
        </is>
      </c>
      <c r="B25" s="9" t="n"/>
      <c r="C25" s="14">
        <f>Assumptions!$B$12</f>
        <v/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n">
        <v>0</v>
      </c>
      <c r="P25" s="14">
        <f>O25</f>
        <v/>
      </c>
    </row>
    <row r="26">
      <c r="A26" s="3" t="inlineStr">
        <is>
          <t>Основные средства (PP&amp;E net)</t>
        </is>
      </c>
      <c r="B26" s="9" t="n"/>
      <c r="C26" s="14">
        <f>Assumptions!$B$5+Assumptions!$B$6+Assumptions!$B$7</f>
        <v/>
      </c>
      <c r="D26" s="14">
        <f>C26+D17</f>
        <v/>
      </c>
      <c r="E26" s="14">
        <f>D26+E17</f>
        <v/>
      </c>
      <c r="F26" s="14">
        <f>E26+F17</f>
        <v/>
      </c>
      <c r="G26" s="14">
        <f>F26+G17</f>
        <v/>
      </c>
      <c r="H26" s="14">
        <f>G26+H17</f>
        <v/>
      </c>
      <c r="I26" s="14">
        <f>H26+I17</f>
        <v/>
      </c>
      <c r="J26" s="14">
        <f>I26+J17</f>
        <v/>
      </c>
      <c r="K26" s="14">
        <f>J26+K17</f>
        <v/>
      </c>
      <c r="L26" s="14">
        <f>K26+L17</f>
        <v/>
      </c>
      <c r="M26" s="14">
        <f>L26+M17</f>
        <v/>
      </c>
      <c r="N26" s="14">
        <f>M26+N17</f>
        <v/>
      </c>
      <c r="O26" s="14">
        <f>N26+O17</f>
        <v/>
      </c>
      <c r="P26" s="14">
        <f>O26</f>
        <v/>
      </c>
    </row>
    <row r="27">
      <c r="A27" s="15" t="inlineStr">
        <is>
          <t>ИТОГО АКТИВЫ</t>
        </is>
      </c>
      <c r="B27" s="15" t="n"/>
      <c r="C27" s="16">
        <f>SUM(C22:C26)</f>
        <v/>
      </c>
      <c r="D27" s="16">
        <f>SUM(D22:D26)</f>
        <v/>
      </c>
      <c r="E27" s="16">
        <f>SUM(E22:E26)</f>
        <v/>
      </c>
      <c r="F27" s="16">
        <f>SUM(F22:F26)</f>
        <v/>
      </c>
      <c r="G27" s="16">
        <f>SUM(G22:G26)</f>
        <v/>
      </c>
      <c r="H27" s="16">
        <f>SUM(H22:H26)</f>
        <v/>
      </c>
      <c r="I27" s="16">
        <f>SUM(I22:I26)</f>
        <v/>
      </c>
      <c r="J27" s="16">
        <f>SUM(J22:J26)</f>
        <v/>
      </c>
      <c r="K27" s="16">
        <f>SUM(K22:K26)</f>
        <v/>
      </c>
      <c r="L27" s="16">
        <f>SUM(L22:L26)</f>
        <v/>
      </c>
      <c r="M27" s="16">
        <f>SUM(M22:M26)</f>
        <v/>
      </c>
      <c r="N27" s="16">
        <f>SUM(N22:N26)</f>
        <v/>
      </c>
      <c r="O27" s="16">
        <f>SUM(O22:O26)</f>
        <v/>
      </c>
      <c r="P27" s="16">
        <f>O27</f>
        <v/>
      </c>
    </row>
    <row r="28">
      <c r="A28" s="3" t="inlineStr">
        <is>
          <t>Собственный капитал</t>
        </is>
      </c>
      <c r="B28" s="9" t="n"/>
      <c r="C28" s="14">
        <f>Assumptions!$B$4</f>
        <v/>
      </c>
      <c r="D28" s="14">
        <f>C28</f>
        <v/>
      </c>
      <c r="E28" s="14">
        <f>D28</f>
        <v/>
      </c>
      <c r="F28" s="14">
        <f>E28</f>
        <v/>
      </c>
      <c r="G28" s="14">
        <f>F28</f>
        <v/>
      </c>
      <c r="H28" s="14">
        <f>G28</f>
        <v/>
      </c>
      <c r="I28" s="14">
        <f>H28</f>
        <v/>
      </c>
      <c r="J28" s="14">
        <f>I28</f>
        <v/>
      </c>
      <c r="K28" s="14">
        <f>J28</f>
        <v/>
      </c>
      <c r="L28" s="14">
        <f>K28</f>
        <v/>
      </c>
      <c r="M28" s="14">
        <f>L28</f>
        <v/>
      </c>
      <c r="N28" s="14">
        <f>M28</f>
        <v/>
      </c>
      <c r="O28" s="14">
        <f>N28</f>
        <v/>
      </c>
      <c r="P28" s="14">
        <f>O28</f>
        <v/>
      </c>
    </row>
    <row r="29">
      <c r="A29" s="3" t="inlineStr">
        <is>
          <t>Нераспределенная прибыль (RE)</t>
        </is>
      </c>
      <c r="B29" s="9" t="n"/>
      <c r="C29" s="14">
        <f>C20</f>
        <v/>
      </c>
      <c r="D29" s="14">
        <f>C29+D20</f>
        <v/>
      </c>
      <c r="E29" s="14">
        <f>D29+E20</f>
        <v/>
      </c>
      <c r="F29" s="14">
        <f>E29+F20</f>
        <v/>
      </c>
      <c r="G29" s="14">
        <f>F29+G20</f>
        <v/>
      </c>
      <c r="H29" s="14">
        <f>G29+H20</f>
        <v/>
      </c>
      <c r="I29" s="14">
        <f>H29+I20</f>
        <v/>
      </c>
      <c r="J29" s="14">
        <f>I29+J20</f>
        <v/>
      </c>
      <c r="K29" s="14">
        <f>J29+K20</f>
        <v/>
      </c>
      <c r="L29" s="14">
        <f>K29+L20</f>
        <v/>
      </c>
      <c r="M29" s="14">
        <f>L29+M20</f>
        <v/>
      </c>
      <c r="N29" s="14">
        <f>M29+N20</f>
        <v/>
      </c>
      <c r="O29" s="14">
        <f>N29+O20</f>
        <v/>
      </c>
      <c r="P29" s="14">
        <f>O29</f>
        <v/>
      </c>
    </row>
    <row r="30">
      <c r="A30" s="15" t="inlineStr">
        <is>
          <t>ИТОГО ПАССИВЫ + КАПИТАЛ</t>
        </is>
      </c>
      <c r="B30" s="15" t="n"/>
      <c r="C30" s="16">
        <f>C28+C29</f>
        <v/>
      </c>
      <c r="D30" s="16">
        <f>D28+D29</f>
        <v/>
      </c>
      <c r="E30" s="16">
        <f>E28+E29</f>
        <v/>
      </c>
      <c r="F30" s="16">
        <f>F28+F29</f>
        <v/>
      </c>
      <c r="G30" s="16">
        <f>G28+G29</f>
        <v/>
      </c>
      <c r="H30" s="16">
        <f>H28+H29</f>
        <v/>
      </c>
      <c r="I30" s="16">
        <f>I28+I29</f>
        <v/>
      </c>
      <c r="J30" s="16">
        <f>J28+J29</f>
        <v/>
      </c>
      <c r="K30" s="16">
        <f>K28+K29</f>
        <v/>
      </c>
      <c r="L30" s="16">
        <f>L28+L29</f>
        <v/>
      </c>
      <c r="M30" s="16">
        <f>M28+M29</f>
        <v/>
      </c>
      <c r="N30" s="16">
        <f>N28+N29</f>
        <v/>
      </c>
      <c r="O30" s="16">
        <f>O28+O29</f>
        <v/>
      </c>
      <c r="P30" s="16">
        <f>O30</f>
        <v/>
      </c>
    </row>
    <row r="31">
      <c r="A31" s="17" t="inlineStr">
        <is>
          <t>Балансовая проверка (Asset - L&amp;E)</t>
        </is>
      </c>
      <c r="B31" s="17" t="n"/>
      <c r="C31" s="18">
        <f>C27-C30</f>
        <v/>
      </c>
      <c r="D31" s="18">
        <f>D27-D30</f>
        <v/>
      </c>
      <c r="E31" s="18">
        <f>E27-E30</f>
        <v/>
      </c>
      <c r="F31" s="18">
        <f>F27-F30</f>
        <v/>
      </c>
      <c r="G31" s="18">
        <f>G27-G30</f>
        <v/>
      </c>
      <c r="H31" s="18">
        <f>H27-H30</f>
        <v/>
      </c>
      <c r="I31" s="18">
        <f>I27-I30</f>
        <v/>
      </c>
      <c r="J31" s="18">
        <f>J27-J30</f>
        <v/>
      </c>
      <c r="K31" s="18">
        <f>K27-K30</f>
        <v/>
      </c>
      <c r="L31" s="18">
        <f>L27-L30</f>
        <v/>
      </c>
      <c r="M31" s="18">
        <f>M27-M30</f>
        <v/>
      </c>
      <c r="N31" s="18">
        <f>N27-N30</f>
        <v/>
      </c>
      <c r="O31" s="18">
        <f>O27-O30</f>
        <v/>
      </c>
      <c r="P31" s="18">
        <f>O31</f>
        <v/>
      </c>
    </row>
    <row r="32" ht="20" customHeight="1">
      <c r="A32" s="2" t="inlineStr">
        <is>
          <t>4. ОТЧЕТ О ДВИЖЕНИИ ДЕНЕЖНЫХ СРЕДСТВ (Cash Flow Statement)</t>
        </is>
      </c>
    </row>
    <row r="33">
      <c r="A33" s="3" t="inlineStr">
        <is>
          <t>Чистая прибыль (Net Income)</t>
        </is>
      </c>
      <c r="B33" s="9" t="n"/>
      <c r="C33" s="14">
        <f>C20</f>
        <v/>
      </c>
      <c r="D33" s="14">
        <f>D20</f>
        <v/>
      </c>
      <c r="E33" s="14">
        <f>E20</f>
        <v/>
      </c>
      <c r="F33" s="14">
        <f>F20</f>
        <v/>
      </c>
      <c r="G33" s="14">
        <f>G20</f>
        <v/>
      </c>
      <c r="H33" s="14">
        <f>H20</f>
        <v/>
      </c>
      <c r="I33" s="14">
        <f>I20</f>
        <v/>
      </c>
      <c r="J33" s="14">
        <f>J20</f>
        <v/>
      </c>
      <c r="K33" s="14">
        <f>K20</f>
        <v/>
      </c>
      <c r="L33" s="14">
        <f>L20</f>
        <v/>
      </c>
      <c r="M33" s="14">
        <f>M20</f>
        <v/>
      </c>
      <c r="N33" s="14">
        <f>N20</f>
        <v/>
      </c>
      <c r="O33" s="14">
        <f>O20</f>
        <v/>
      </c>
      <c r="P33" s="14">
        <f>SUM(C33:O33)</f>
        <v/>
      </c>
    </row>
    <row r="34">
      <c r="A34" s="3" t="inlineStr">
        <is>
          <t>Корректировка: Амортизация (D&amp;A)</t>
        </is>
      </c>
      <c r="B34" s="9" t="n"/>
      <c r="C34" s="14" t="n">
        <v>0</v>
      </c>
      <c r="D34" s="14">
        <f>-D17</f>
        <v/>
      </c>
      <c r="E34" s="14">
        <f>-E17</f>
        <v/>
      </c>
      <c r="F34" s="14">
        <f>-F17</f>
        <v/>
      </c>
      <c r="G34" s="14">
        <f>-G17</f>
        <v/>
      </c>
      <c r="H34" s="14">
        <f>-H17</f>
        <v/>
      </c>
      <c r="I34" s="14">
        <f>-I17</f>
        <v/>
      </c>
      <c r="J34" s="14">
        <f>-J17</f>
        <v/>
      </c>
      <c r="K34" s="14">
        <f>-K17</f>
        <v/>
      </c>
      <c r="L34" s="14">
        <f>-L17</f>
        <v/>
      </c>
      <c r="M34" s="14">
        <f>-M17</f>
        <v/>
      </c>
      <c r="N34" s="14">
        <f>-N17</f>
        <v/>
      </c>
      <c r="O34" s="14">
        <f>-O17</f>
        <v/>
      </c>
      <c r="P34" s="14">
        <f>SUM(D34:O34)</f>
        <v/>
      </c>
    </row>
    <row r="35">
      <c r="A35" s="3" t="inlineStr">
        <is>
          <t>Изменение оборотного капитала</t>
        </is>
      </c>
      <c r="B35" s="9" t="n"/>
      <c r="C35" s="14" t="n">
        <v>0</v>
      </c>
      <c r="D35" s="14">
        <f>C25-D25</f>
        <v/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>
        <f>SUM(D35:O35)</f>
        <v/>
      </c>
    </row>
    <row r="36">
      <c r="A36" s="3" t="inlineStr">
        <is>
          <t>Денежный поток от опер. деятельности (CFO)</t>
        </is>
      </c>
      <c r="B36" s="9" t="n"/>
      <c r="C36" s="14">
        <f>SUM(C33:C35)</f>
        <v/>
      </c>
      <c r="D36" s="14">
        <f>SUM(D33:D35)</f>
        <v/>
      </c>
      <c r="E36" s="14">
        <f>SUM(E33:E35)</f>
        <v/>
      </c>
      <c r="F36" s="14">
        <f>SUM(F33:F35)</f>
        <v/>
      </c>
      <c r="G36" s="14">
        <f>SUM(G33:G35)</f>
        <v/>
      </c>
      <c r="H36" s="14">
        <f>SUM(H33:H35)</f>
        <v/>
      </c>
      <c r="I36" s="14">
        <f>SUM(I33:I35)</f>
        <v/>
      </c>
      <c r="J36" s="14">
        <f>SUM(J33:J35)</f>
        <v/>
      </c>
      <c r="K36" s="14">
        <f>SUM(K33:K35)</f>
        <v/>
      </c>
      <c r="L36" s="14">
        <f>SUM(L33:L35)</f>
        <v/>
      </c>
      <c r="M36" s="14">
        <f>SUM(M33:M35)</f>
        <v/>
      </c>
      <c r="N36" s="14">
        <f>SUM(N33:N35)</f>
        <v/>
      </c>
      <c r="O36" s="14">
        <f>SUM(O33:O35)</f>
        <v/>
      </c>
      <c r="P36" s="14">
        <f>SUM(C36:O36)</f>
        <v/>
      </c>
    </row>
    <row r="37">
      <c r="A37" s="3" t="inlineStr">
        <is>
          <t>Капитальные затраты (CapEx)</t>
        </is>
      </c>
      <c r="B37" s="9" t="n"/>
      <c r="C37" s="14">
        <f>-(Assumptions!$B$5+Assumptions!$B$6+Assumptions!$B$7)</f>
        <v/>
      </c>
      <c r="D37" s="14" t="n">
        <v>0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</v>
      </c>
      <c r="N37" s="14" t="n">
        <v>0</v>
      </c>
      <c r="O37" s="14" t="n">
        <v>0</v>
      </c>
      <c r="P37" s="14">
        <f>SUM(C37:O37)</f>
        <v/>
      </c>
    </row>
    <row r="38">
      <c r="A38" s="3" t="inlineStr">
        <is>
          <t>Депозиты и предоплаты</t>
        </is>
      </c>
      <c r="B38" s="9" t="n"/>
      <c r="C38" s="14">
        <f>-(Assumptions!$B$8+Assumptions!$B$12+Assumptions!$B$9)</f>
        <v/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0</v>
      </c>
      <c r="I38" s="14" t="n">
        <v>0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0</v>
      </c>
      <c r="O38" s="14" t="n">
        <v>0</v>
      </c>
      <c r="P38" s="14">
        <f>SUM(C38:O38)</f>
        <v/>
      </c>
    </row>
    <row r="39">
      <c r="A39" s="3" t="inlineStr">
        <is>
          <t>Денежный поток от инвест. деятельности (CFI)</t>
        </is>
      </c>
      <c r="B39" s="9" t="n"/>
      <c r="C39" s="14">
        <f>C37+C38</f>
        <v/>
      </c>
      <c r="D39" s="14" t="n">
        <v>0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0</v>
      </c>
      <c r="O39" s="14" t="n">
        <v>0</v>
      </c>
      <c r="P39" s="14">
        <f>SUM(C39:O39)</f>
        <v/>
      </c>
    </row>
    <row r="40">
      <c r="A40" s="3" t="inlineStr">
        <is>
          <t>Привлечение собственного капитала</t>
        </is>
      </c>
      <c r="B40" s="9" t="n"/>
      <c r="C40" s="14">
        <f>Assumptions!$B$4</f>
        <v/>
      </c>
      <c r="D40" s="14" t="n">
        <v>0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4" t="n">
        <v>0</v>
      </c>
      <c r="L40" s="14" t="n">
        <v>0</v>
      </c>
      <c r="M40" s="14" t="n">
        <v>0</v>
      </c>
      <c r="N40" s="14" t="n">
        <v>0</v>
      </c>
      <c r="O40" s="14" t="n">
        <v>0</v>
      </c>
      <c r="P40" s="14">
        <f>SUM(C40:O40)</f>
        <v/>
      </c>
    </row>
    <row r="41">
      <c r="A41" s="3" t="inlineStr">
        <is>
          <t>Денежный поток от фин. деятельности (CFF)</t>
        </is>
      </c>
      <c r="B41" s="9" t="n"/>
      <c r="C41" s="14">
        <f>C40</f>
        <v/>
      </c>
      <c r="D41" s="14" t="n">
        <v>0</v>
      </c>
      <c r="E41" s="14" t="n">
        <v>0</v>
      </c>
      <c r="F41" s="14" t="n">
        <v>0</v>
      </c>
      <c r="G41" s="14" t="n">
        <v>0</v>
      </c>
      <c r="H41" s="14" t="n">
        <v>0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0</v>
      </c>
      <c r="O41" s="14" t="n">
        <v>0</v>
      </c>
      <c r="P41" s="14">
        <f>SUM(C41:O41)</f>
        <v/>
      </c>
    </row>
    <row r="42">
      <c r="A42" s="3" t="inlineStr">
        <is>
          <t>Чистое изменение денежных средств</t>
        </is>
      </c>
      <c r="B42" s="9" t="n"/>
      <c r="C42" s="14">
        <f>C36+C39+C41</f>
        <v/>
      </c>
      <c r="D42" s="14">
        <f>D36+D39+D41</f>
        <v/>
      </c>
      <c r="E42" s="14">
        <f>E36+E39+E41</f>
        <v/>
      </c>
      <c r="F42" s="14">
        <f>F36+F39+F41</f>
        <v/>
      </c>
      <c r="G42" s="14">
        <f>G36+G39+G41</f>
        <v/>
      </c>
      <c r="H42" s="14">
        <f>H36+H39+H41</f>
        <v/>
      </c>
      <c r="I42" s="14">
        <f>I36+I39+I41</f>
        <v/>
      </c>
      <c r="J42" s="14">
        <f>J36+J39+J41</f>
        <v/>
      </c>
      <c r="K42" s="14">
        <f>K36+K39+K41</f>
        <v/>
      </c>
      <c r="L42" s="14">
        <f>L36+L39+L41</f>
        <v/>
      </c>
      <c r="M42" s="14">
        <f>M36+M39+M41</f>
        <v/>
      </c>
      <c r="N42" s="14">
        <f>N36+N39+N41</f>
        <v/>
      </c>
      <c r="O42" s="14">
        <f>O36+O39+O41</f>
        <v/>
      </c>
      <c r="P42" s="14">
        <f>SUM(C42:O42)</f>
        <v/>
      </c>
    </row>
    <row r="43">
      <c r="A43" s="3" t="inlineStr">
        <is>
          <t>Начальный остаток денежных средств</t>
        </is>
      </c>
      <c r="B43" s="9" t="n"/>
      <c r="C43" s="14" t="n">
        <v>0</v>
      </c>
      <c r="D43" s="14">
        <f>C44</f>
        <v/>
      </c>
      <c r="E43" s="14">
        <f>D44</f>
        <v/>
      </c>
      <c r="F43" s="14">
        <f>E44</f>
        <v/>
      </c>
      <c r="G43" s="14">
        <f>F44</f>
        <v/>
      </c>
      <c r="H43" s="14">
        <f>G44</f>
        <v/>
      </c>
      <c r="I43" s="14">
        <f>H44</f>
        <v/>
      </c>
      <c r="J43" s="14">
        <f>I44</f>
        <v/>
      </c>
      <c r="K43" s="14">
        <f>J44</f>
        <v/>
      </c>
      <c r="L43" s="14">
        <f>K44</f>
        <v/>
      </c>
      <c r="M43" s="14">
        <f>L44</f>
        <v/>
      </c>
      <c r="N43" s="14">
        <f>M44</f>
        <v/>
      </c>
      <c r="O43" s="14">
        <f>N44</f>
        <v/>
      </c>
      <c r="P43" s="14">
        <f>C43</f>
        <v/>
      </c>
    </row>
    <row r="44">
      <c r="A44" s="15" t="inlineStr">
        <is>
          <t>Конечный остаток денежных средств</t>
        </is>
      </c>
      <c r="B44" s="15" t="n"/>
      <c r="C44" s="16">
        <f>C43+C42</f>
        <v/>
      </c>
      <c r="D44" s="16">
        <f>D43+D42</f>
        <v/>
      </c>
      <c r="E44" s="16">
        <f>E43+E42</f>
        <v/>
      </c>
      <c r="F44" s="16">
        <f>F43+F42</f>
        <v/>
      </c>
      <c r="G44" s="16">
        <f>G43+G42</f>
        <v/>
      </c>
      <c r="H44" s="16">
        <f>H43+H42</f>
        <v/>
      </c>
      <c r="I44" s="16">
        <f>I43+I42</f>
        <v/>
      </c>
      <c r="J44" s="16">
        <f>J43+J42</f>
        <v/>
      </c>
      <c r="K44" s="16">
        <f>K43+K42</f>
        <v/>
      </c>
      <c r="L44" s="16">
        <f>L43+L42</f>
        <v/>
      </c>
      <c r="M44" s="16">
        <f>M43+M42</f>
        <v/>
      </c>
      <c r="N44" s="16">
        <f>N43+N42</f>
        <v/>
      </c>
      <c r="O44" s="16">
        <f>O43+O42</f>
        <v/>
      </c>
      <c r="P44" s="16">
        <f>O44</f>
        <v/>
      </c>
    </row>
    <row r="45">
      <c r="A45" s="17" t="inlineStr">
        <is>
          <t>Проверка остатка (CF Ending vs BS Cash)</t>
        </is>
      </c>
      <c r="B45" s="17" t="n"/>
      <c r="C45" s="18">
        <f>C44-C22</f>
        <v/>
      </c>
      <c r="D45" s="18">
        <f>D44-D22</f>
        <v/>
      </c>
      <c r="E45" s="18">
        <f>E44-E22</f>
        <v/>
      </c>
      <c r="F45" s="18">
        <f>F44-F22</f>
        <v/>
      </c>
      <c r="G45" s="18">
        <f>G44-G22</f>
        <v/>
      </c>
      <c r="H45" s="18">
        <f>H44-H22</f>
        <v/>
      </c>
      <c r="I45" s="18">
        <f>I44-I22</f>
        <v/>
      </c>
      <c r="J45" s="18">
        <f>J44-J22</f>
        <v/>
      </c>
      <c r="K45" s="18">
        <f>K44-K22</f>
        <v/>
      </c>
      <c r="L45" s="18">
        <f>L44-L22</f>
        <v/>
      </c>
      <c r="M45" s="18">
        <f>M44-M22</f>
        <v/>
      </c>
      <c r="N45" s="18">
        <f>N44-N22</f>
        <v/>
      </c>
      <c r="O45" s="18">
        <f>O44-O22</f>
        <v/>
      </c>
      <c r="P45" s="18">
        <f>O45</f>
        <v/>
      </c>
    </row>
  </sheetData>
  <mergeCells count="5">
    <mergeCell ref="A32:P32"/>
    <mergeCell ref="A1:P1"/>
    <mergeCell ref="A3:P3"/>
    <mergeCell ref="A21:P21"/>
    <mergeCell ref="A7:P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2026-06-10T20:43:58Z</dcterms:created>
  <dcterms:modified xsi:type="dcterms:W3CDTF">2026-06-10T20:43:58Z</dcterms:modified>
</cp:coreProperties>
</file>